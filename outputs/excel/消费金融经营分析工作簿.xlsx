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封面与说明" sheetId="1" r:id="rId1"/>
    <sheet name="经营总览" sheetId="2" r:id="rId2"/>
    <sheet name="审批漏斗" sheetId="3" r:id="rId3"/>
    <sheet name="组合结构" sheetId="4" r:id="rId4"/>
    <sheet name="风险迁徙" sheetId="5" r:id="rId5"/>
    <sheet name="客户分层" sheetId="6" r:id="rId6"/>
    <sheet name="异常清单" sheetId="7" r:id="rId7"/>
    <sheet name="指标口径" sheetId="8" r:id="rId8"/>
  </sheets>
  <calcPr calcId="124519" fullCalcOnLoad="1"/>
</workbook>
</file>

<file path=xl/sharedStrings.xml><?xml version="1.0" encoding="utf-8"?>
<sst xmlns="http://schemas.openxmlformats.org/spreadsheetml/2006/main" count="399" uniqueCount="155">
  <si>
    <t>消费金融经营分析工作簿</t>
  </si>
  <si>
    <t>项目定位</t>
  </si>
  <si>
    <t>以 Home Credit 公开消费金融数据复现“申请—审批—用信—放款—还款—逾期—复贷”全链路经营分析。</t>
  </si>
  <si>
    <t>数据来源</t>
  </si>
  <si>
    <t>Home Credit public dataset via Hugging Face (minhSpaceX/home_credit)。</t>
  </si>
  <si>
    <t>时间口径</t>
  </si>
  <si>
    <t>DAYS_* 相对天数映射到以 2026-09-30 为锚点的业务日历，仅用于趋势与 cohort 分析。</t>
  </si>
  <si>
    <t>金额口径</t>
  </si>
  <si>
    <t>金额统一为万元（归一化），仅用于结构与趋势分析，不代表真实人民币规模。</t>
  </si>
  <si>
    <t>协作说明</t>
  </si>
  <si>
    <t>本人负责业务定义、指标口径、分析假设、结论判断与验收；Codex 参与代码、文档与看板实现。</t>
  </si>
  <si>
    <t>工作表目录</t>
  </si>
  <si>
    <t>经营总览</t>
  </si>
  <si>
    <t>月度进件、审批、用信、金额、件均与趋势图</t>
  </si>
  <si>
    <t>审批漏斗</t>
  </si>
  <si>
    <t>最新月漏斗与渠道/产品拆分</t>
  </si>
  <si>
    <t>组合结构</t>
  </si>
  <si>
    <t>合同类型、地区、年龄、收入带的风险与敞口</t>
  </si>
  <si>
    <t>风险迁徙</t>
  </si>
  <si>
    <t>Vintage DPD30/60/90 矩阵</t>
  </si>
  <si>
    <t>客户分层</t>
  </si>
  <si>
    <t>价值 × 风险九宫格</t>
  </si>
  <si>
    <t>异常清单</t>
  </si>
  <si>
    <t>稳健 z 分数识别的经营异常</t>
  </si>
  <si>
    <t>指标口径</t>
  </si>
  <si>
    <t>核心指标公式、分母与使用边界</t>
  </si>
  <si>
    <t>重要提示</t>
  </si>
  <si>
    <t>TARGET 表示 30+ 天逾期标签，不等同于核销率；AI 输出仅作辅助决策，发布前需人工复核。</t>
  </si>
  <si>
    <t>月度经营总览</t>
  </si>
  <si>
    <t>数据锚点 2026-09-30｜金额单位：万元（归一化）</t>
  </si>
  <si>
    <t>月份</t>
  </si>
  <si>
    <t>进件量</t>
  </si>
  <si>
    <t>审批通过量</t>
  </si>
  <si>
    <t>实际用信量</t>
  </si>
  <si>
    <t>审批通过率</t>
  </si>
  <si>
    <t>用信率</t>
  </si>
  <si>
    <t>审批金额</t>
  </si>
  <si>
    <t>件均</t>
  </si>
  <si>
    <t>平均期限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</si>
  <si>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</si>
  <si>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</si>
  <si>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</si>
  <si>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</si>
  <si>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</si>
  <si>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</si>
  <si>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</si>
  <si>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</si>
  <si>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</si>
  <si>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</si>
  <si>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</si>
  <si>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</si>
  <si>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</si>
  <si>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</si>
  <si>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</si>
  <si>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</si>
  <si>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</si>
  <si>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</si>
  <si>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审批漏斗（2026-09）</t>
  </si>
  <si>
    <t>进件</t>
  </si>
  <si>
    <t>审批通过</t>
  </si>
  <si>
    <t>实际用信</t>
  </si>
  <si>
    <t>渠道</t>
  </si>
  <si>
    <t>Credit and cash offices</t>
  </si>
  <si>
    <t>Contact center</t>
  </si>
  <si>
    <t>Country-wide</t>
  </si>
  <si>
    <t>Stone</t>
  </si>
  <si>
    <t>Regional / Local</t>
  </si>
  <si>
    <t>AP+ (Cash loan)</t>
  </si>
  <si>
    <t>Channel of corporate sales</t>
  </si>
  <si>
    <t>当前在贷组合结构</t>
  </si>
  <si>
    <t>合同类型</t>
  </si>
  <si>
    <t>地区评级</t>
  </si>
  <si>
    <t>年龄带</t>
  </si>
  <si>
    <t>收入带</t>
  </si>
  <si>
    <t>客户数</t>
  </si>
  <si>
    <t>不良率</t>
  </si>
  <si>
    <t>敞口</t>
  </si>
  <si>
    <t>平均授信</t>
  </si>
  <si>
    <t>平均年金</t>
  </si>
  <si>
    <t>授信收入比</t>
  </si>
  <si>
    <t>外部评分均值</t>
  </si>
  <si>
    <t>Cash loans</t>
  </si>
  <si>
    <t>35-44</t>
  </si>
  <si>
    <t>&lt;10万</t>
  </si>
  <si>
    <t>55+</t>
  </si>
  <si>
    <t>45-54</t>
  </si>
  <si>
    <t>25-34</t>
  </si>
  <si>
    <t>18-24</t>
  </si>
  <si>
    <t>Revolving loans</t>
  </si>
  <si>
    <t>Vintage DPD30 迁徙矩阵</t>
  </si>
  <si>
    <t>客户价值 × 风险分层</t>
  </si>
  <si>
    <t>价值分层</t>
  </si>
  <si>
    <t>风险分层</t>
  </si>
  <si>
    <t>平均收入</t>
  </si>
  <si>
    <t>平均审批金额</t>
  </si>
  <si>
    <t>平均申请次数</t>
  </si>
  <si>
    <t>低价值</t>
  </si>
  <si>
    <t>中风险</t>
  </si>
  <si>
    <t>高风险</t>
  </si>
  <si>
    <t>中价值</t>
  </si>
  <si>
    <t>高价值</t>
  </si>
  <si>
    <t>经营异常清单</t>
  </si>
  <si>
    <t>指标字段</t>
  </si>
  <si>
    <t>指标</t>
  </si>
  <si>
    <t>本期值</t>
  </si>
  <si>
    <t>上期值</t>
  </si>
  <si>
    <t>环比</t>
  </si>
  <si>
    <t>稳健z</t>
  </si>
  <si>
    <t>严重度</t>
  </si>
  <si>
    <t>approval_rate</t>
  </si>
  <si>
    <t>high</t>
  </si>
  <si>
    <t>applications</t>
  </si>
  <si>
    <t>medium</t>
  </si>
  <si>
    <t>avg_ticket</t>
  </si>
  <si>
    <t>件均金额</t>
  </si>
  <si>
    <t>utilization_rate</t>
  </si>
  <si>
    <t>approved_amount</t>
  </si>
  <si>
    <t>2025-03</t>
  </si>
  <si>
    <t>2025-02</t>
  </si>
  <si>
    <t>2025-01</t>
  </si>
  <si>
    <t>2024-12</t>
  </si>
  <si>
    <t>2024-11</t>
  </si>
  <si>
    <t>2024-09</t>
  </si>
  <si>
    <t>2024-08</t>
  </si>
  <si>
    <t>2024-07</t>
  </si>
  <si>
    <t>核心指标口径</t>
  </si>
  <si>
    <t>公式</t>
  </si>
  <si>
    <t>数据视图/字段</t>
  </si>
  <si>
    <t>口径说明</t>
  </si>
  <si>
    <t>全部申请笔数</t>
  </si>
  <si>
    <t>v_kpi_monthly.applications</t>
  </si>
  <si>
    <t>包含通过、拒绝、取消、未使用额度</t>
  </si>
  <si>
    <t>(Approved + Unused offer) / 进件量</t>
  </si>
  <si>
    <t>v_kpi_monthly.approval_rate</t>
  </si>
  <si>
    <t>Unused offer 计入通过、不计入用信</t>
  </si>
  <si>
    <t>Approved / (Approved + Unused offer)</t>
  </si>
  <si>
    <t>v_kpi_monthly.utilization_rate</t>
  </si>
  <si>
    <t>衡量批而不用的流失</t>
  </si>
  <si>
    <t>Approved 合同的 AMT_CREDIT 合计</t>
  </si>
  <si>
    <t>v_kpi_monthly.approved_amount</t>
  </si>
  <si>
    <t>万元（归一化）</t>
  </si>
  <si>
    <t>审批金额 / 实际用信量</t>
  </si>
  <si>
    <t>v_kpi_monthly.avg_ticket</t>
  </si>
  <si>
    <t>受产品结构影响</t>
  </si>
  <si>
    <t>TARGET=1 客户占比</t>
  </si>
  <si>
    <t>v_portfolio_current.bad_rate</t>
  </si>
  <si>
    <t>30+ 天逾期标签，不等同核销率</t>
  </si>
  <si>
    <t>DPD30</t>
  </si>
  <si>
    <t>账龄月内最大逾期&gt;=30天的贷款占比</t>
  </si>
  <si>
    <t>v_vintage.dpd30_rate</t>
  </si>
  <si>
    <t>按 cohort 与账龄计算</t>
  </si>
  <si>
    <t>复贷率</t>
  </si>
  <si>
    <t>申请次数&gt;=2 客户 / 有历史申请客户</t>
  </si>
  <si>
    <t>客户粒度计算</t>
  </si>
  <si>
    <t>需同时看复贷客户风险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</si>
</sst>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%"/>
    <numFmt numFmtId="166" formatCode="#,##0.00"/>
  </numFmts>
  <fonts count="7">
    <font>
      <sz val="11"/>
      <color theme="1"/>
      <name val="Calibri"/>
      <family val="2"/>
      <scheme val="minor"/>
    </font>
    <font>
      <b/>
      <sz val="22"/>
      <color rgb="FF173B57"/>
      <name val="Microsoft YaHei"/>
      <family val="2"/>
    </font>
    <font>
      <b/>
      <sz val="13"/>
      <color rgb="FF173B57"/>
      <name val="Microsoft YaHei"/>
      <family val="2"/>
    </font>
    <font>
      <sz val="10"/>
      <color theme="1"/>
      <name val="Microsoft YaHei"/>
      <family val="2"/>
    </font>
    <font>
      <b/>
      <sz val="11"/>
      <color rgb="FF0E7C86"/>
      <name val="Microsoft YaHei"/>
      <family val="2"/>
    </font>
    <font>
      <sz val="11"/>
      <color rgb="FF6B7280"/>
      <name val="Microsoft YaHei"/>
      <family val="2"/>
    </font>
    <font>
      <b/>
      <sz val="11"/>
      <color rgb="FFFFFFFF"/>
      <name val="Microsoft YaHei"/>
      <family val="2"/>
    </font>
  </fonts>
  <fills count="3">
    <fill>
      <patternFill patternType="none"/>
    </fill>
    <fill>
      <patternFill patternType="gray125"/>
    </fill>
    <fill>
      <patternFill patternType="solid">
        <fgColor rgb="FF173B5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E7C8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月度进件量与审批通过率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进件量</c:v>
          </c:tx>
          <c:spPr>
            <a:solidFill>
              <a:srgbClr val="0E7C86"/>
            </a:solidFill>
          </c:spPr>
          <c:cat>
            <c:strRef>
              <c:f>经营总览!$A$6:$A$23</c:f>
              <c:strCache>
                <c:ptCount val="18"/>
                <c:pt idx="0">
                  <c:v>2025-04</c:v>
                </c:pt>
                <c:pt idx="1">
                  <c:v>2025-05</c:v>
                </c:pt>
                <c:pt idx="2">
                  <c:v>2025-06</c:v>
                </c:pt>
                <c:pt idx="3">
                  <c:v>2025-07</c:v>
                </c:pt>
                <c:pt idx="4">
                  <c:v>2025-08</c:v>
                </c:pt>
                <c:pt idx="5">
                  <c:v>2025-09</c:v>
                </c:pt>
                <c:pt idx="6">
                  <c:v>2025-10</c:v>
                </c:pt>
                <c:pt idx="7">
                  <c:v>2025-11</c:v>
                </c:pt>
                <c:pt idx="8">
                  <c:v>2025-12</c:v>
                </c:pt>
                <c:pt idx="9">
                  <c:v>2026-01</c:v>
                </c:pt>
                <c:pt idx="10">
                  <c:v>2026-02</c:v>
                </c:pt>
                <c:pt idx="11">
                  <c:v>2026-03</c:v>
                </c:pt>
                <c:pt idx="12">
                  <c:v>2026-04</c:v>
                </c:pt>
                <c:pt idx="13">
                  <c:v>2026-05</c:v>
                </c:pt>
                <c:pt idx="14">
                  <c:v>2026-06</c:v>
                </c:pt>
                <c:pt idx="15">
                  <c:v>2026-07</c:v>
                </c:pt>
                <c:pt idx="16">
                  <c:v>2026-08</c:v>
                </c:pt>
                <c:pt idx="17">
                  <c:v>2026-09</c:v>
                </c:pt>
              </c:strCache>
            </c:strRef>
          </c:cat>
          <c:val>
            <c:numRef>
              <c:f>经营总览!$B$6:$B$23</c:f>
              <c:numCache>
                <c:formatCode>General</c:formatCode>
                <c:ptCount val="18"/>
                <c:pt idx="0">
                  <c:v>31226</c:v>
                </c:pt>
                <c:pt idx="1">
                  <c:v>34973</c:v>
                </c:pt>
                <c:pt idx="2">
                  <c:v>35645</c:v>
                </c:pt>
                <c:pt idx="3">
                  <c:v>39749</c:v>
                </c:pt>
                <c:pt idx="4">
                  <c:v>42929</c:v>
                </c:pt>
                <c:pt idx="5">
                  <c:v>47294</c:v>
                </c:pt>
                <c:pt idx="6">
                  <c:v>54766</c:v>
                </c:pt>
                <c:pt idx="7">
                  <c:v>54749</c:v>
                </c:pt>
                <c:pt idx="8">
                  <c:v>60101</c:v>
                </c:pt>
                <c:pt idx="9">
                  <c:v>62997</c:v>
                </c:pt>
                <c:pt idx="10">
                  <c:v>56183</c:v>
                </c:pt>
                <c:pt idx="11">
                  <c:v>61814</c:v>
                </c:pt>
                <c:pt idx="12">
                  <c:v>52772</c:v>
                </c:pt>
                <c:pt idx="13">
                  <c:v>44347</c:v>
                </c:pt>
                <c:pt idx="14">
                  <c:v>34640</c:v>
                </c:pt>
                <c:pt idx="15">
                  <c:v>24967</c:v>
                </c:pt>
                <c:pt idx="16">
                  <c:v>28537</c:v>
                </c:pt>
                <c:pt idx="17">
                  <c:v>36012</c:v>
                </c:pt>
              </c:numCache>
            </c:numRef>
          </c:val>
        </c:ser>
        <c:axId val="50010001"/>
        <c:axId val="50010002"/>
      </c:barChart>
      <c:lineChart>
        <c:grouping val="standard"/>
        <c:ser>
          <c:idx val="1"/>
          <c:order val="1"/>
          <c:tx>
            <c:v>审批通过率</c:v>
          </c:tx>
          <c:spPr>
            <a:ln w="28575">
              <a:solidFill>
                <a:srgbClr val="D97706"/>
              </a:solidFill>
            </a:ln>
          </c:spPr>
          <c:marker>
            <c:symbol val="none"/>
          </c:marker>
          <c:cat>
            <c:strRef>
              <c:f>经营总览!$A$6:$A$23</c:f>
              <c:strCache>
                <c:ptCount val="18"/>
                <c:pt idx="0">
                  <c:v>2025-04</c:v>
                </c:pt>
                <c:pt idx="1">
                  <c:v>2025-05</c:v>
                </c:pt>
                <c:pt idx="2">
                  <c:v>2025-06</c:v>
                </c:pt>
                <c:pt idx="3">
                  <c:v>2025-07</c:v>
                </c:pt>
                <c:pt idx="4">
                  <c:v>2025-08</c:v>
                </c:pt>
                <c:pt idx="5">
                  <c:v>2025-09</c:v>
                </c:pt>
                <c:pt idx="6">
                  <c:v>2025-10</c:v>
                </c:pt>
                <c:pt idx="7">
                  <c:v>2025-11</c:v>
                </c:pt>
                <c:pt idx="8">
                  <c:v>2025-12</c:v>
                </c:pt>
                <c:pt idx="9">
                  <c:v>2026-01</c:v>
                </c:pt>
                <c:pt idx="10">
                  <c:v>2026-02</c:v>
                </c:pt>
                <c:pt idx="11">
                  <c:v>2026-03</c:v>
                </c:pt>
                <c:pt idx="12">
                  <c:v>2026-04</c:v>
                </c:pt>
                <c:pt idx="13">
                  <c:v>2026-05</c:v>
                </c:pt>
                <c:pt idx="14">
                  <c:v>2026-06</c:v>
                </c:pt>
                <c:pt idx="15">
                  <c:v>2026-07</c:v>
                </c:pt>
                <c:pt idx="16">
                  <c:v>2026-08</c:v>
                </c:pt>
                <c:pt idx="17">
                  <c:v>2026-09</c:v>
                </c:pt>
              </c:strCache>
            </c:strRef>
          </c:cat>
          <c:val>
            <c:numRef>
              <c:f>经营总览!$E$6:$E$23</c:f>
              <c:numCache>
                <c:formatCode>General</c:formatCode>
                <c:ptCount val="18"/>
                <c:pt idx="0">
                  <c:v>0.6953</c:v>
                </c:pt>
                <c:pt idx="1">
                  <c:v>0.6422</c:v>
                </c:pt>
                <c:pt idx="2">
                  <c:v>0.6054</c:v>
                </c:pt>
                <c:pt idx="3">
                  <c:v>0.5542</c:v>
                </c:pt>
                <c:pt idx="4">
                  <c:v>0.5075</c:v>
                </c:pt>
                <c:pt idx="5">
                  <c:v>0.4678</c:v>
                </c:pt>
                <c:pt idx="6">
                  <c:v>0.4488</c:v>
                </c:pt>
                <c:pt idx="7">
                  <c:v>0.413</c:v>
                </c:pt>
                <c:pt idx="8">
                  <c:v>0.3874</c:v>
                </c:pt>
                <c:pt idx="9">
                  <c:v>0.3613</c:v>
                </c:pt>
                <c:pt idx="10">
                  <c:v>0.3367</c:v>
                </c:pt>
                <c:pt idx="11">
                  <c:v>0.3121</c:v>
                </c:pt>
                <c:pt idx="12">
                  <c:v>0.3124</c:v>
                </c:pt>
                <c:pt idx="13">
                  <c:v>0.3122</c:v>
                </c:pt>
                <c:pt idx="14">
                  <c:v>0.3279</c:v>
                </c:pt>
                <c:pt idx="15">
                  <c:v>0.3664</c:v>
                </c:pt>
                <c:pt idx="16">
                  <c:v>0.2941</c:v>
                </c:pt>
                <c:pt idx="17">
                  <c:v>0.229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进件量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22</xdr:col>
      <xdr:colOff>114300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0"/>
  <sheetViews>
    <sheetView showGridLines="0" tabSelected="1" workbookViewId="0"/>
  </sheetViews>
  <sheetFormatPr defaultRowHeight="15"/>
  <cols>
    <col min="1" max="1" width="3.7109375" customWidth="1"/>
    <col min="2" max="2" width="24.7109375" customWidth="1"/>
    <col min="3" max="3" width="90.7109375" customWidth="1"/>
  </cols>
  <sheetData>
    <row r="2" spans="2:3">
      <c r="B2" s="1" t="s">
        <v>0</v>
      </c>
    </row>
    <row r="4" spans="2:3">
      <c r="B4" s="2" t="s">
        <v>1</v>
      </c>
      <c r="C4" s="3" t="s">
        <v>2</v>
      </c>
    </row>
    <row r="5" spans="2:3">
      <c r="B5" s="2" t="s">
        <v>3</v>
      </c>
      <c r="C5" s="3" t="s">
        <v>4</v>
      </c>
    </row>
    <row r="6" spans="2:3">
      <c r="B6" s="2" t="s">
        <v>5</v>
      </c>
      <c r="C6" s="3" t="s">
        <v>6</v>
      </c>
    </row>
    <row r="7" spans="2:3">
      <c r="B7" s="2" t="s">
        <v>7</v>
      </c>
      <c r="C7" s="3" t="s">
        <v>8</v>
      </c>
    </row>
    <row r="8" spans="2:3">
      <c r="B8" s="2" t="s">
        <v>9</v>
      </c>
      <c r="C8" s="3" t="s">
        <v>10</v>
      </c>
    </row>
    <row r="10" spans="2:3">
      <c r="B10" s="2" t="s">
        <v>11</v>
      </c>
    </row>
    <row r="12" spans="2:3">
      <c r="B12" s="4" t="s">
        <v>12</v>
      </c>
      <c r="C12" s="3" t="s">
        <v>13</v>
      </c>
    </row>
    <row r="13" spans="2:3">
      <c r="B13" s="4" t="s">
        <v>14</v>
      </c>
      <c r="C13" s="3" t="s">
        <v>15</v>
      </c>
    </row>
    <row r="14" spans="2:3">
      <c r="B14" s="4" t="s">
        <v>16</v>
      </c>
      <c r="C14" s="3" t="s">
        <v>17</v>
      </c>
    </row>
    <row r="15" spans="2:3">
      <c r="B15" s="4" t="s">
        <v>18</v>
      </c>
      <c r="C15" s="3" t="s">
        <v>19</v>
      </c>
    </row>
    <row r="16" spans="2:3">
      <c r="B16" s="4" t="s">
        <v>20</v>
      </c>
      <c r="C16" s="3" t="s">
        <v>21</v>
      </c>
    </row>
    <row r="17" spans="2:3">
      <c r="B17" s="4" t="s">
        <v>22</v>
      </c>
      <c r="C17" s="3" t="s">
        <v>23</v>
      </c>
    </row>
    <row r="18" spans="2:3">
      <c r="B18" s="4" t="s">
        <v>24</v>
      </c>
      <c r="C18" s="3" t="s">
        <v>25</v>
      </c>
    </row>
    <row r="20" spans="2:3">
      <c r="B20" s="2" t="s">
        <v>26</v>
      </c>
      <c r="C20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3"/>
  <sheetViews>
    <sheetView showGridLines="0" workbookViewId="0"/>
  </sheetViews>
  <sheetFormatPr defaultRowHeight="15"/>
  <cols>
    <col min="1" max="2" width="12.7109375" customWidth="1"/>
    <col min="3" max="5" width="14.7109375" customWidth="1"/>
    <col min="6" max="6" width="12.7109375" customWidth="1"/>
    <col min="7" max="7" width="15.7109375" customWidth="1"/>
    <col min="8" max="9" width="12.7109375" customWidth="1"/>
  </cols>
  <sheetData>
    <row r="1" spans="1:9">
      <c r="A1" s="1" t="s">
        <v>28</v>
      </c>
    </row>
    <row r="2" spans="1:9">
      <c r="A2" s="5" t="s">
        <v>29</v>
      </c>
    </row>
    <row r="5" spans="1:9">
      <c r="A5" s="6" t="s">
        <v>30</v>
      </c>
      <c r="B5" s="6" t="s">
        <v>31</v>
      </c>
      <c r="C5" s="6" t="s">
        <v>32</v>
      </c>
      <c r="D5" s="6" t="s">
        <v>33</v>
      </c>
      <c r="E5" s="6" t="s">
        <v>34</v>
      </c>
      <c r="F5" s="6" t="s">
        <v>35</v>
      </c>
      <c r="G5" s="6" t="s">
        <v>36</v>
      </c>
      <c r="H5" s="6" t="s">
        <v>37</v>
      </c>
      <c r="I5" s="6" t="s">
        <v>38</v>
      </c>
    </row>
    <row r="6" spans="1:9">
      <c r="A6" t="s">
        <v>39</v>
      </c>
      <c r="B6" s="7">
        <v>31226</v>
      </c>
      <c r="C6" s="7">
        <v>21711</v>
      </c>
      <c r="D6" s="7">
        <v>21215</v>
      </c>
      <c r="E6" s="8">
        <v>0.6953</v>
      </c>
      <c r="F6" s="8">
        <v>0.9772</v>
      </c>
      <c r="G6" s="9">
        <v>599896.14</v>
      </c>
      <c r="H6" s="9">
        <v>28.28</v>
      </c>
      <c r="I6" s="9">
        <v>16.09</v>
      </c>
    </row>
    <row r="7" spans="1:9">
      <c r="A7" t="s">
        <v>40</v>
      </c>
      <c r="B7" s="7">
        <v>34973</v>
      </c>
      <c r="C7" s="7">
        <v>22460</v>
      </c>
      <c r="D7" s="7">
        <v>21924</v>
      </c>
      <c r="E7" s="8">
        <v>0.6422</v>
      </c>
      <c r="F7" s="8">
        <v>0.9761</v>
      </c>
      <c r="G7" s="9">
        <v>616191.12</v>
      </c>
      <c r="H7" s="9">
        <v>28.11</v>
      </c>
      <c r="I7" s="9">
        <v>16.07</v>
      </c>
    </row>
    <row r="8" spans="1:9">
      <c r="A8" t="s">
        <v>41</v>
      </c>
      <c r="B8" s="7">
        <v>35645</v>
      </c>
      <c r="C8" s="7">
        <v>21579</v>
      </c>
      <c r="D8" s="7">
        <v>21083</v>
      </c>
      <c r="E8" s="8">
        <v>0.6054</v>
      </c>
      <c r="F8" s="8">
        <v>0.977</v>
      </c>
      <c r="G8" s="9">
        <v>571594.66</v>
      </c>
      <c r="H8" s="9">
        <v>27.11</v>
      </c>
      <c r="I8" s="9">
        <v>15.73</v>
      </c>
    </row>
    <row r="9" spans="1:9">
      <c r="A9" t="s">
        <v>42</v>
      </c>
      <c r="B9" s="7">
        <v>39749</v>
      </c>
      <c r="C9" s="7">
        <v>22028</v>
      </c>
      <c r="D9" s="7">
        <v>21462</v>
      </c>
      <c r="E9" s="8">
        <v>0.5542</v>
      </c>
      <c r="F9" s="8">
        <v>0.9743000000000001</v>
      </c>
      <c r="G9" s="9">
        <v>561776.9</v>
      </c>
      <c r="H9" s="9">
        <v>26.18</v>
      </c>
      <c r="I9" s="9">
        <v>15.32</v>
      </c>
    </row>
    <row r="10" spans="1:9">
      <c r="A10" t="s">
        <v>43</v>
      </c>
      <c r="B10" s="7">
        <v>42929</v>
      </c>
      <c r="C10" s="7">
        <v>21785</v>
      </c>
      <c r="D10" s="7">
        <v>21296</v>
      </c>
      <c r="E10" s="8">
        <v>0.5075</v>
      </c>
      <c r="F10" s="8">
        <v>0.9776</v>
      </c>
      <c r="G10" s="9">
        <v>534511.87</v>
      </c>
      <c r="H10" s="9">
        <v>25.1</v>
      </c>
      <c r="I10" s="9">
        <v>15.12</v>
      </c>
    </row>
    <row r="11" spans="1:9">
      <c r="A11" t="s">
        <v>44</v>
      </c>
      <c r="B11" s="7">
        <v>47294</v>
      </c>
      <c r="C11" s="7">
        <v>22122</v>
      </c>
      <c r="D11" s="7">
        <v>21597</v>
      </c>
      <c r="E11" s="8">
        <v>0.4678</v>
      </c>
      <c r="F11" s="8">
        <v>0.9762999999999999</v>
      </c>
      <c r="G11" s="9">
        <v>550798.4399999999</v>
      </c>
      <c r="H11" s="9">
        <v>25.5</v>
      </c>
      <c r="I11" s="9">
        <v>15.01</v>
      </c>
    </row>
    <row r="12" spans="1:9">
      <c r="A12" t="s">
        <v>45</v>
      </c>
      <c r="B12" s="7">
        <v>54766</v>
      </c>
      <c r="C12" s="7">
        <v>24579</v>
      </c>
      <c r="D12" s="7">
        <v>23980</v>
      </c>
      <c r="E12" s="8">
        <v>0.4488</v>
      </c>
      <c r="F12" s="8">
        <v>0.9756</v>
      </c>
      <c r="G12" s="9">
        <v>571457.21</v>
      </c>
      <c r="H12" s="9">
        <v>23.83</v>
      </c>
      <c r="I12" s="9">
        <v>14.49</v>
      </c>
    </row>
    <row r="13" spans="1:9">
      <c r="A13" t="s">
        <v>46</v>
      </c>
      <c r="B13" s="7">
        <v>54749</v>
      </c>
      <c r="C13" s="7">
        <v>22609</v>
      </c>
      <c r="D13" s="7">
        <v>22071</v>
      </c>
      <c r="E13" s="8">
        <v>0.413</v>
      </c>
      <c r="F13" s="8">
        <v>0.9762</v>
      </c>
      <c r="G13" s="9">
        <v>523151.27</v>
      </c>
      <c r="H13" s="9">
        <v>23.7</v>
      </c>
      <c r="I13" s="9">
        <v>14.42</v>
      </c>
    </row>
    <row r="14" spans="1:9">
      <c r="A14" t="s">
        <v>47</v>
      </c>
      <c r="B14" s="7">
        <v>60101</v>
      </c>
      <c r="C14" s="7">
        <v>23283</v>
      </c>
      <c r="D14" s="7">
        <v>22709</v>
      </c>
      <c r="E14" s="8">
        <v>0.3874</v>
      </c>
      <c r="F14" s="8">
        <v>0.9752999999999999</v>
      </c>
      <c r="G14" s="9">
        <v>538882.08</v>
      </c>
      <c r="H14" s="9">
        <v>23.73</v>
      </c>
      <c r="I14" s="9">
        <v>14.48</v>
      </c>
    </row>
    <row r="15" spans="1:9">
      <c r="A15" t="s">
        <v>48</v>
      </c>
      <c r="B15" s="7">
        <v>62997</v>
      </c>
      <c r="C15" s="7">
        <v>22760</v>
      </c>
      <c r="D15" s="7">
        <v>22168</v>
      </c>
      <c r="E15" s="8">
        <v>0.3613</v>
      </c>
      <c r="F15" s="8">
        <v>0.974</v>
      </c>
      <c r="G15" s="9">
        <v>537746.04</v>
      </c>
      <c r="H15" s="9">
        <v>24.26</v>
      </c>
      <c r="I15" s="9">
        <v>14.72</v>
      </c>
    </row>
    <row r="16" spans="1:9">
      <c r="A16" t="s">
        <v>49</v>
      </c>
      <c r="B16" s="7">
        <v>56183</v>
      </c>
      <c r="C16" s="7">
        <v>18918</v>
      </c>
      <c r="D16" s="7">
        <v>18393</v>
      </c>
      <c r="E16" s="8">
        <v>0.3367</v>
      </c>
      <c r="F16" s="8">
        <v>0.9722</v>
      </c>
      <c r="G16" s="9">
        <v>445853.38</v>
      </c>
      <c r="H16" s="9">
        <v>24.24</v>
      </c>
      <c r="I16" s="9">
        <v>14.8</v>
      </c>
    </row>
    <row r="17" spans="1:9">
      <c r="A17" t="s">
        <v>50</v>
      </c>
      <c r="B17" s="7">
        <v>61814</v>
      </c>
      <c r="C17" s="7">
        <v>19290</v>
      </c>
      <c r="D17" s="7">
        <v>18680</v>
      </c>
      <c r="E17" s="8">
        <v>0.3121</v>
      </c>
      <c r="F17" s="8">
        <v>0.9684</v>
      </c>
      <c r="G17" s="9">
        <v>463670.04</v>
      </c>
      <c r="H17" s="9">
        <v>24.82</v>
      </c>
      <c r="I17" s="9">
        <v>15.26</v>
      </c>
    </row>
    <row r="18" spans="1:9">
      <c r="A18" t="s">
        <v>51</v>
      </c>
      <c r="B18" s="7">
        <v>52772</v>
      </c>
      <c r="C18" s="7">
        <v>16487</v>
      </c>
      <c r="D18" s="7">
        <v>15880</v>
      </c>
      <c r="E18" s="8">
        <v>0.3124</v>
      </c>
      <c r="F18" s="8">
        <v>0.9631999999999999</v>
      </c>
      <c r="G18" s="9">
        <v>358618.89</v>
      </c>
      <c r="H18" s="9">
        <v>22.58</v>
      </c>
      <c r="I18" s="9">
        <v>14.97</v>
      </c>
    </row>
    <row r="19" spans="1:9">
      <c r="A19" t="s">
        <v>52</v>
      </c>
      <c r="B19" s="7">
        <v>44347</v>
      </c>
      <c r="C19" s="7">
        <v>13846</v>
      </c>
      <c r="D19" s="7">
        <v>13223</v>
      </c>
      <c r="E19" s="8">
        <v>0.3122</v>
      </c>
      <c r="F19" s="8">
        <v>0.955</v>
      </c>
      <c r="G19" s="9">
        <v>288200.83</v>
      </c>
      <c r="H19" s="9">
        <v>21.8</v>
      </c>
      <c r="I19" s="9">
        <v>14.86</v>
      </c>
    </row>
    <row r="20" spans="1:9">
      <c r="A20" t="s">
        <v>53</v>
      </c>
      <c r="B20" s="7">
        <v>34640</v>
      </c>
      <c r="C20" s="7">
        <v>11359</v>
      </c>
      <c r="D20" s="7">
        <v>10738</v>
      </c>
      <c r="E20" s="8">
        <v>0.3279</v>
      </c>
      <c r="F20" s="8">
        <v>0.9453</v>
      </c>
      <c r="G20" s="9">
        <v>230742.85</v>
      </c>
      <c r="H20" s="9">
        <v>21.49</v>
      </c>
      <c r="I20" s="9">
        <v>14.91</v>
      </c>
    </row>
    <row r="21" spans="1:9">
      <c r="A21" t="s">
        <v>54</v>
      </c>
      <c r="B21" s="7">
        <v>24967</v>
      </c>
      <c r="C21" s="7">
        <v>9148</v>
      </c>
      <c r="D21" s="7">
        <v>8598</v>
      </c>
      <c r="E21" s="8">
        <v>0.3664</v>
      </c>
      <c r="F21" s="8">
        <v>0.9399</v>
      </c>
      <c r="G21" s="9">
        <v>161115.52</v>
      </c>
      <c r="H21" s="9">
        <v>18.74</v>
      </c>
      <c r="I21" s="9">
        <v>13.77</v>
      </c>
    </row>
    <row r="22" spans="1:9">
      <c r="A22" t="s">
        <v>55</v>
      </c>
      <c r="B22" s="7">
        <v>28537</v>
      </c>
      <c r="C22" s="7">
        <v>8394</v>
      </c>
      <c r="D22" s="7">
        <v>7975</v>
      </c>
      <c r="E22" s="8">
        <v>0.2941</v>
      </c>
      <c r="F22" s="8">
        <v>0.9500999999999999</v>
      </c>
      <c r="G22" s="9">
        <v>142868.64</v>
      </c>
      <c r="H22" s="9">
        <v>17.91</v>
      </c>
      <c r="I22" s="9">
        <v>13.66</v>
      </c>
    </row>
    <row r="23" spans="1:9">
      <c r="A23" t="s">
        <v>56</v>
      </c>
      <c r="B23" s="7">
        <v>36012</v>
      </c>
      <c r="C23" s="7">
        <v>8245</v>
      </c>
      <c r="D23" s="7">
        <v>8070</v>
      </c>
      <c r="E23" s="8">
        <v>0.229</v>
      </c>
      <c r="F23" s="8">
        <v>0.9788</v>
      </c>
      <c r="G23" s="9">
        <v>188680.95</v>
      </c>
      <c r="H23" s="9">
        <v>23.38</v>
      </c>
      <c r="I23" s="9">
        <v>15.97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7"/>
  <sheetViews>
    <sheetView showGridLines="0" workbookViewId="0"/>
  </sheetViews>
  <sheetFormatPr defaultRowHeight="15"/>
  <sheetData>
    <row r="1" spans="1:7">
      <c r="A1" s="1" t="s">
        <v>57</v>
      </c>
    </row>
    <row r="3" spans="1:7">
      <c r="A3" s="6" t="s">
        <v>58</v>
      </c>
      <c r="B3" s="7">
        <v>36012</v>
      </c>
    </row>
    <row r="4" spans="1:7">
      <c r="A4" s="6" t="s">
        <v>59</v>
      </c>
      <c r="B4" s="7">
        <v>8245</v>
      </c>
    </row>
    <row r="5" spans="1:7">
      <c r="A5" s="6" t="s">
        <v>60</v>
      </c>
      <c r="B5" s="7">
        <v>8070</v>
      </c>
    </row>
    <row r="6" spans="1:7">
      <c r="A6" s="6" t="s">
        <v>34</v>
      </c>
      <c r="B6" s="8">
        <v>0.229</v>
      </c>
    </row>
    <row r="7" spans="1:7">
      <c r="A7" s="6" t="s">
        <v>35</v>
      </c>
      <c r="B7" s="8">
        <v>0.9788</v>
      </c>
    </row>
    <row r="10" spans="1:7">
      <c r="A10" s="6" t="s">
        <v>61</v>
      </c>
      <c r="B10" s="6" t="s">
        <v>31</v>
      </c>
      <c r="C10" s="6" t="s">
        <v>32</v>
      </c>
      <c r="D10" s="6" t="s">
        <v>33</v>
      </c>
      <c r="E10" s="6" t="s">
        <v>34</v>
      </c>
      <c r="F10" s="6" t="s">
        <v>35</v>
      </c>
      <c r="G10" s="6" t="s">
        <v>36</v>
      </c>
    </row>
    <row r="11" spans="1:7">
      <c r="A11" t="s">
        <v>62</v>
      </c>
      <c r="B11">
        <v>23430</v>
      </c>
      <c r="C11">
        <v>1837</v>
      </c>
      <c r="D11">
        <v>1837</v>
      </c>
      <c r="E11" s="8">
        <v>0.0784</v>
      </c>
      <c r="F11" s="8">
        <v>1</v>
      </c>
      <c r="G11" s="9">
        <v>110701.39815</v>
      </c>
    </row>
    <row r="12" spans="1:7">
      <c r="A12" t="s">
        <v>63</v>
      </c>
      <c r="B12">
        <v>4939</v>
      </c>
      <c r="C12">
        <v>214</v>
      </c>
      <c r="D12">
        <v>214</v>
      </c>
      <c r="E12" s="8">
        <v>0.0433</v>
      </c>
      <c r="F12" s="8">
        <v>1</v>
      </c>
      <c r="G12" s="9">
        <v>14296.8465</v>
      </c>
    </row>
    <row r="13" spans="1:7">
      <c r="A13" t="s">
        <v>64</v>
      </c>
      <c r="B13">
        <v>4384</v>
      </c>
      <c r="C13">
        <v>3842</v>
      </c>
      <c r="D13">
        <v>3667</v>
      </c>
      <c r="E13" s="8">
        <v>0.8764</v>
      </c>
      <c r="F13" s="8">
        <v>0.9545</v>
      </c>
      <c r="G13" s="9">
        <v>33625.31887349999</v>
      </c>
    </row>
    <row r="14" spans="1:7">
      <c r="A14" t="s">
        <v>65</v>
      </c>
      <c r="B14">
        <v>1397</v>
      </c>
      <c r="C14">
        <v>1231</v>
      </c>
      <c r="D14">
        <v>1231</v>
      </c>
      <c r="E14" s="8">
        <v>0.8812</v>
      </c>
      <c r="F14" s="8">
        <v>1</v>
      </c>
      <c r="G14" s="9">
        <v>14169.39615</v>
      </c>
    </row>
    <row r="15" spans="1:7">
      <c r="A15" t="s">
        <v>66</v>
      </c>
      <c r="B15">
        <v>1075</v>
      </c>
      <c r="C15">
        <v>940</v>
      </c>
      <c r="D15">
        <v>940</v>
      </c>
      <c r="E15" s="8">
        <v>0.8744</v>
      </c>
      <c r="F15" s="8">
        <v>1</v>
      </c>
      <c r="G15" s="9">
        <v>10505.7558</v>
      </c>
    </row>
    <row r="16" spans="1:7">
      <c r="A16" t="s">
        <v>67</v>
      </c>
      <c r="B16">
        <v>468</v>
      </c>
      <c r="C16">
        <v>108</v>
      </c>
      <c r="D16">
        <v>108</v>
      </c>
      <c r="E16" s="8">
        <v>0.2308</v>
      </c>
      <c r="F16" s="8">
        <v>1</v>
      </c>
      <c r="G16" s="9">
        <v>3859.70085</v>
      </c>
    </row>
    <row r="17" spans="1:7">
      <c r="A17" t="s">
        <v>68</v>
      </c>
      <c r="B17">
        <v>319</v>
      </c>
      <c r="C17">
        <v>73</v>
      </c>
      <c r="D17">
        <v>73</v>
      </c>
      <c r="E17" s="8">
        <v>0.2288</v>
      </c>
      <c r="F17" s="8">
        <v>1</v>
      </c>
      <c r="G17" s="9">
        <v>1522.5357555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4"/>
  <sheetViews>
    <sheetView showGridLines="0" workbookViewId="0"/>
  </sheetViews>
  <sheetFormatPr defaultRowHeight="15"/>
  <sheetData>
    <row r="1" spans="1:11">
      <c r="A1" s="1" t="s">
        <v>69</v>
      </c>
    </row>
    <row r="4" spans="1:11">
      <c r="A4" s="6" t="s">
        <v>70</v>
      </c>
      <c r="B4" s="6" t="s">
        <v>71</v>
      </c>
      <c r="C4" s="6" t="s">
        <v>72</v>
      </c>
      <c r="D4" s="6" t="s">
        <v>73</v>
      </c>
      <c r="E4" s="6" t="s">
        <v>74</v>
      </c>
      <c r="F4" s="6" t="s">
        <v>75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</row>
    <row r="5" spans="1:11">
      <c r="A5" t="s">
        <v>81</v>
      </c>
      <c r="B5">
        <v>2</v>
      </c>
      <c r="C5" t="s">
        <v>82</v>
      </c>
      <c r="D5" t="s">
        <v>83</v>
      </c>
      <c r="E5">
        <v>56504</v>
      </c>
      <c r="F5" s="8">
        <v>0.0861</v>
      </c>
      <c r="G5" s="9">
        <v>3671029.29</v>
      </c>
      <c r="H5" s="9">
        <v>64.97</v>
      </c>
      <c r="I5" s="9">
        <v>2.88</v>
      </c>
      <c r="J5" s="9">
        <v>4.159</v>
      </c>
      <c r="K5" s="9">
        <v>0.5138</v>
      </c>
    </row>
    <row r="6" spans="1:11">
      <c r="A6" t="s">
        <v>81</v>
      </c>
      <c r="B6">
        <v>2</v>
      </c>
      <c r="C6" t="s">
        <v>84</v>
      </c>
      <c r="D6" t="s">
        <v>83</v>
      </c>
      <c r="E6">
        <v>47796</v>
      </c>
      <c r="F6" s="8">
        <v>0.0526</v>
      </c>
      <c r="G6" s="9">
        <v>2765569.37</v>
      </c>
      <c r="H6" s="9">
        <v>57.86</v>
      </c>
      <c r="I6" s="9">
        <v>2.5</v>
      </c>
      <c r="J6" s="9">
        <v>4.455</v>
      </c>
      <c r="K6" s="9">
        <v>0.5504</v>
      </c>
    </row>
    <row r="7" spans="1:11">
      <c r="A7" t="s">
        <v>81</v>
      </c>
      <c r="B7">
        <v>2</v>
      </c>
      <c r="C7" t="s">
        <v>85</v>
      </c>
      <c r="D7" t="s">
        <v>83</v>
      </c>
      <c r="E7">
        <v>47603</v>
      </c>
      <c r="F7" s="8">
        <v>0.0703</v>
      </c>
      <c r="G7" s="9">
        <v>3176592.43</v>
      </c>
      <c r="H7" s="9">
        <v>66.73</v>
      </c>
      <c r="I7" s="9">
        <v>2.86</v>
      </c>
      <c r="J7" s="9">
        <v>4.426</v>
      </c>
      <c r="K7" s="9">
        <v>0.544</v>
      </c>
    </row>
    <row r="8" spans="1:11">
      <c r="A8" t="s">
        <v>81</v>
      </c>
      <c r="B8">
        <v>2</v>
      </c>
      <c r="C8" t="s">
        <v>86</v>
      </c>
      <c r="D8" t="s">
        <v>83</v>
      </c>
      <c r="E8">
        <v>47558</v>
      </c>
      <c r="F8" s="8">
        <v>0.1088</v>
      </c>
      <c r="G8" s="9">
        <v>2639727.97</v>
      </c>
      <c r="H8" s="9">
        <v>55.51</v>
      </c>
      <c r="I8" s="9">
        <v>2.73</v>
      </c>
      <c r="J8" s="9">
        <v>3.665</v>
      </c>
      <c r="K8" s="9">
        <v>0.4549</v>
      </c>
    </row>
    <row r="9" spans="1:11">
      <c r="A9" t="s">
        <v>81</v>
      </c>
      <c r="B9">
        <v>3</v>
      </c>
      <c r="C9" t="s">
        <v>82</v>
      </c>
      <c r="D9" t="s">
        <v>83</v>
      </c>
      <c r="E9">
        <v>11654</v>
      </c>
      <c r="F9" s="8">
        <v>0.1188</v>
      </c>
      <c r="G9" s="9">
        <v>751679.85</v>
      </c>
      <c r="H9" s="9">
        <v>64.5</v>
      </c>
      <c r="I9" s="9">
        <v>2.88</v>
      </c>
      <c r="J9" s="9">
        <v>4.445</v>
      </c>
      <c r="K9" s="9">
        <v>0.4576</v>
      </c>
    </row>
    <row r="10" spans="1:11">
      <c r="A10" t="s">
        <v>81</v>
      </c>
      <c r="B10">
        <v>3</v>
      </c>
      <c r="C10" t="s">
        <v>86</v>
      </c>
      <c r="D10" t="s">
        <v>83</v>
      </c>
      <c r="E10">
        <v>11080</v>
      </c>
      <c r="F10" s="8">
        <v>0.1535</v>
      </c>
      <c r="G10" s="9">
        <v>604709.9</v>
      </c>
      <c r="H10" s="9">
        <v>54.58</v>
      </c>
      <c r="I10" s="9">
        <v>2.71</v>
      </c>
      <c r="J10" s="9">
        <v>3.881</v>
      </c>
      <c r="K10" s="9">
        <v>0.3974</v>
      </c>
    </row>
    <row r="11" spans="1:11">
      <c r="A11" t="s">
        <v>81</v>
      </c>
      <c r="B11">
        <v>3</v>
      </c>
      <c r="C11" t="s">
        <v>84</v>
      </c>
      <c r="D11" t="s">
        <v>83</v>
      </c>
      <c r="E11">
        <v>10107</v>
      </c>
      <c r="F11" s="8">
        <v>0.0672</v>
      </c>
      <c r="G11" s="9">
        <v>586366.16</v>
      </c>
      <c r="H11" s="9">
        <v>58.02</v>
      </c>
      <c r="I11" s="9">
        <v>2.49</v>
      </c>
      <c r="J11" s="9">
        <v>4.783</v>
      </c>
      <c r="K11" s="9">
        <v>0.4882</v>
      </c>
    </row>
    <row r="12" spans="1:11">
      <c r="A12" t="s">
        <v>81</v>
      </c>
      <c r="B12">
        <v>3</v>
      </c>
      <c r="C12" t="s">
        <v>85</v>
      </c>
      <c r="D12" t="s">
        <v>83</v>
      </c>
      <c r="E12">
        <v>9499</v>
      </c>
      <c r="F12" s="8">
        <v>0.105</v>
      </c>
      <c r="G12" s="9">
        <v>631645.84</v>
      </c>
      <c r="H12" s="9">
        <v>66.5</v>
      </c>
      <c r="I12" s="9">
        <v>2.86</v>
      </c>
      <c r="J12" s="9">
        <v>4.72</v>
      </c>
      <c r="K12" s="9">
        <v>0.4857</v>
      </c>
    </row>
    <row r="13" spans="1:11">
      <c r="A13" t="s">
        <v>81</v>
      </c>
      <c r="B13">
        <v>1</v>
      </c>
      <c r="C13" t="s">
        <v>82</v>
      </c>
      <c r="D13" t="s">
        <v>83</v>
      </c>
      <c r="E13">
        <v>8118</v>
      </c>
      <c r="F13" s="8">
        <v>0.0546</v>
      </c>
      <c r="G13" s="9">
        <v>676266.87</v>
      </c>
      <c r="H13" s="9">
        <v>83.3</v>
      </c>
      <c r="I13" s="9">
        <v>3.73</v>
      </c>
      <c r="J13" s="9">
        <v>3.687</v>
      </c>
      <c r="K13" s="9">
        <v>0.5836</v>
      </c>
    </row>
    <row r="14" spans="1:11">
      <c r="A14" t="s">
        <v>81</v>
      </c>
      <c r="B14">
        <v>1</v>
      </c>
      <c r="C14" t="s">
        <v>85</v>
      </c>
      <c r="D14" t="s">
        <v>83</v>
      </c>
      <c r="E14">
        <v>6990</v>
      </c>
      <c r="F14" s="8">
        <v>0.0485</v>
      </c>
      <c r="G14" s="9">
        <v>610943.48</v>
      </c>
      <c r="H14" s="9">
        <v>87.40000000000001</v>
      </c>
      <c r="I14" s="9">
        <v>3.75</v>
      </c>
      <c r="J14" s="9">
        <v>3.976</v>
      </c>
      <c r="K14" s="9">
        <v>0.6142</v>
      </c>
    </row>
    <row r="15" spans="1:11">
      <c r="A15" t="s">
        <v>81</v>
      </c>
      <c r="B15">
        <v>2</v>
      </c>
      <c r="C15" t="s">
        <v>87</v>
      </c>
      <c r="D15" t="s">
        <v>83</v>
      </c>
      <c r="E15">
        <v>6366</v>
      </c>
      <c r="F15" s="8">
        <v>0.1274</v>
      </c>
      <c r="G15" s="9">
        <v>299619.67</v>
      </c>
      <c r="H15" s="9">
        <v>47.07</v>
      </c>
      <c r="I15" s="9">
        <v>2.49</v>
      </c>
      <c r="J15" s="9">
        <v>3.359</v>
      </c>
      <c r="K15" s="9">
        <v>0.3746</v>
      </c>
    </row>
    <row r="16" spans="1:11">
      <c r="A16" t="s">
        <v>81</v>
      </c>
      <c r="B16">
        <v>1</v>
      </c>
      <c r="C16" t="s">
        <v>84</v>
      </c>
      <c r="D16" t="s">
        <v>83</v>
      </c>
      <c r="E16">
        <v>6272</v>
      </c>
      <c r="F16" s="8">
        <v>0.037</v>
      </c>
      <c r="G16" s="9">
        <v>475821.59</v>
      </c>
      <c r="H16" s="9">
        <v>75.86</v>
      </c>
      <c r="I16" s="9">
        <v>3.34</v>
      </c>
      <c r="J16" s="9">
        <v>3.988</v>
      </c>
      <c r="K16" s="9">
        <v>0.6246</v>
      </c>
    </row>
    <row r="17" spans="1:11">
      <c r="A17" t="s">
        <v>81</v>
      </c>
      <c r="B17">
        <v>1</v>
      </c>
      <c r="C17" t="s">
        <v>86</v>
      </c>
      <c r="D17" t="s">
        <v>83</v>
      </c>
      <c r="E17">
        <v>6232</v>
      </c>
      <c r="F17" s="8">
        <v>0.0586</v>
      </c>
      <c r="G17" s="9">
        <v>453417.24</v>
      </c>
      <c r="H17" s="9">
        <v>72.76000000000001</v>
      </c>
      <c r="I17" s="9">
        <v>3.56</v>
      </c>
      <c r="J17" s="9">
        <v>3.294</v>
      </c>
      <c r="K17" s="9">
        <v>0.5253</v>
      </c>
    </row>
    <row r="18" spans="1:11">
      <c r="A18" t="s">
        <v>88</v>
      </c>
      <c r="B18">
        <v>2</v>
      </c>
      <c r="C18" t="s">
        <v>82</v>
      </c>
      <c r="D18" t="s">
        <v>83</v>
      </c>
      <c r="E18">
        <v>5709</v>
      </c>
      <c r="F18" s="8">
        <v>0.0524</v>
      </c>
      <c r="G18" s="9">
        <v>185526</v>
      </c>
      <c r="H18" s="9">
        <v>32.5</v>
      </c>
      <c r="I18" s="9">
        <v>1.64</v>
      </c>
      <c r="J18" s="9">
        <v>2.192</v>
      </c>
      <c r="K18" s="9">
        <v>0.5309</v>
      </c>
    </row>
    <row r="19" spans="1:11">
      <c r="A19" t="s">
        <v>88</v>
      </c>
      <c r="B19">
        <v>2</v>
      </c>
      <c r="C19" t="s">
        <v>86</v>
      </c>
      <c r="D19" t="s">
        <v>83</v>
      </c>
      <c r="E19">
        <v>5444</v>
      </c>
      <c r="F19" s="8">
        <v>0.0654</v>
      </c>
      <c r="G19" s="9">
        <v>151296.75</v>
      </c>
      <c r="H19" s="9">
        <v>27.79</v>
      </c>
      <c r="I19" s="9">
        <v>1.39</v>
      </c>
      <c r="J19" s="9">
        <v>2.02</v>
      </c>
      <c r="K19" s="9">
        <v>0.4762</v>
      </c>
    </row>
    <row r="20" spans="1:11">
      <c r="A20" t="s">
        <v>88</v>
      </c>
      <c r="B20">
        <v>2</v>
      </c>
      <c r="C20" t="s">
        <v>85</v>
      </c>
      <c r="D20" t="s">
        <v>83</v>
      </c>
      <c r="E20">
        <v>4311</v>
      </c>
      <c r="F20" s="8">
        <v>0.0459</v>
      </c>
      <c r="G20" s="9">
        <v>149044.5</v>
      </c>
      <c r="H20" s="9">
        <v>34.57</v>
      </c>
      <c r="I20" s="9">
        <v>1.74</v>
      </c>
      <c r="J20" s="9">
        <v>2.315</v>
      </c>
      <c r="K20" s="9">
        <v>0.551</v>
      </c>
    </row>
    <row r="21" spans="1:11">
      <c r="A21" t="s">
        <v>88</v>
      </c>
      <c r="B21">
        <v>2</v>
      </c>
      <c r="C21" t="s">
        <v>84</v>
      </c>
      <c r="D21" t="s">
        <v>83</v>
      </c>
      <c r="E21">
        <v>3280</v>
      </c>
      <c r="F21" s="8">
        <v>0.0351</v>
      </c>
      <c r="G21" s="9">
        <v>112590</v>
      </c>
      <c r="H21" s="9">
        <v>34.33</v>
      </c>
      <c r="I21" s="9">
        <v>1.73</v>
      </c>
      <c r="J21" s="9">
        <v>2.468</v>
      </c>
      <c r="K21" s="9">
        <v>0.5580000000000001</v>
      </c>
    </row>
    <row r="22" spans="1:11">
      <c r="A22" t="s">
        <v>88</v>
      </c>
      <c r="B22">
        <v>2</v>
      </c>
      <c r="C22" t="s">
        <v>87</v>
      </c>
      <c r="D22" t="s">
        <v>83</v>
      </c>
      <c r="E22">
        <v>2413</v>
      </c>
      <c r="F22" s="8">
        <v>0.0945</v>
      </c>
      <c r="G22" s="9">
        <v>50643</v>
      </c>
      <c r="H22" s="9">
        <v>20.99</v>
      </c>
      <c r="I22" s="9">
        <v>1.05</v>
      </c>
      <c r="J22" s="9">
        <v>1.884</v>
      </c>
      <c r="K22" s="9">
        <v>0.3853</v>
      </c>
    </row>
    <row r="23" spans="1:11">
      <c r="A23" t="s">
        <v>81</v>
      </c>
      <c r="B23">
        <v>3</v>
      </c>
      <c r="C23" t="s">
        <v>87</v>
      </c>
      <c r="D23" t="s">
        <v>83</v>
      </c>
      <c r="E23">
        <v>1657</v>
      </c>
      <c r="F23" s="8">
        <v>0.1798</v>
      </c>
      <c r="G23" s="9">
        <v>77584.92999999999</v>
      </c>
      <c r="H23" s="9">
        <v>46.82</v>
      </c>
      <c r="I23" s="9">
        <v>2.48</v>
      </c>
      <c r="J23" s="9">
        <v>3.557</v>
      </c>
      <c r="K23" s="9">
        <v>0.3128</v>
      </c>
    </row>
    <row r="24" spans="1:11">
      <c r="A24" t="s">
        <v>88</v>
      </c>
      <c r="B24">
        <v>3</v>
      </c>
      <c r="C24" t="s">
        <v>82</v>
      </c>
      <c r="D24" t="s">
        <v>83</v>
      </c>
      <c r="E24">
        <v>1202</v>
      </c>
      <c r="F24" s="8">
        <v>0.0541</v>
      </c>
      <c r="G24" s="9">
        <v>35838</v>
      </c>
      <c r="H24" s="9">
        <v>29.82</v>
      </c>
      <c r="I24" s="9">
        <v>1.49</v>
      </c>
      <c r="J24" s="9">
        <v>2.104</v>
      </c>
      <c r="K24" s="9">
        <v>0.4763</v>
      </c>
    </row>
    <row r="25" spans="1:11">
      <c r="A25" t="s">
        <v>88</v>
      </c>
      <c r="B25">
        <v>1</v>
      </c>
      <c r="C25" t="s">
        <v>82</v>
      </c>
      <c r="D25" t="s">
        <v>83</v>
      </c>
      <c r="E25">
        <v>1123</v>
      </c>
      <c r="F25" s="8">
        <v>0.0249</v>
      </c>
      <c r="G25" s="9">
        <v>55757.25</v>
      </c>
      <c r="H25" s="9">
        <v>49.65</v>
      </c>
      <c r="I25" s="9">
        <v>2.53</v>
      </c>
      <c r="J25" s="9">
        <v>2.024</v>
      </c>
      <c r="K25" s="9">
        <v>0.6019</v>
      </c>
    </row>
    <row r="26" spans="1:11">
      <c r="A26" t="s">
        <v>88</v>
      </c>
      <c r="B26">
        <v>3</v>
      </c>
      <c r="C26" t="s">
        <v>86</v>
      </c>
      <c r="D26" t="s">
        <v>83</v>
      </c>
      <c r="E26">
        <v>1030</v>
      </c>
      <c r="F26" s="8">
        <v>0.0951</v>
      </c>
      <c r="G26" s="9">
        <v>25375.5</v>
      </c>
      <c r="H26" s="9">
        <v>24.64</v>
      </c>
      <c r="I26" s="9">
        <v>1.23</v>
      </c>
      <c r="J26" s="9">
        <v>1.936</v>
      </c>
      <c r="K26" s="9">
        <v>0.4253</v>
      </c>
    </row>
    <row r="27" spans="1:11">
      <c r="A27" t="s">
        <v>88</v>
      </c>
      <c r="B27">
        <v>1</v>
      </c>
      <c r="C27" t="s">
        <v>86</v>
      </c>
      <c r="D27" t="s">
        <v>83</v>
      </c>
      <c r="E27">
        <v>923</v>
      </c>
      <c r="F27" s="8">
        <v>0.0282</v>
      </c>
      <c r="G27" s="9">
        <v>42081.75</v>
      </c>
      <c r="H27" s="9">
        <v>45.59</v>
      </c>
      <c r="I27" s="9">
        <v>2.33</v>
      </c>
      <c r="J27" s="9">
        <v>1.831</v>
      </c>
      <c r="K27" s="9">
        <v>0.5489000000000001</v>
      </c>
    </row>
    <row r="28" spans="1:11">
      <c r="A28" t="s">
        <v>88</v>
      </c>
      <c r="B28">
        <v>3</v>
      </c>
      <c r="C28" t="s">
        <v>85</v>
      </c>
      <c r="D28" t="s">
        <v>83</v>
      </c>
      <c r="E28">
        <v>922</v>
      </c>
      <c r="F28" s="8">
        <v>0.0575</v>
      </c>
      <c r="G28" s="9">
        <v>27405</v>
      </c>
      <c r="H28" s="9">
        <v>29.72</v>
      </c>
      <c r="I28" s="9">
        <v>1.5</v>
      </c>
      <c r="J28" s="9">
        <v>2.222</v>
      </c>
      <c r="K28" s="9">
        <v>0.4937</v>
      </c>
    </row>
    <row r="29" spans="1:11">
      <c r="A29" t="s">
        <v>81</v>
      </c>
      <c r="B29">
        <v>1</v>
      </c>
      <c r="C29" t="s">
        <v>87</v>
      </c>
      <c r="D29" t="s">
        <v>83</v>
      </c>
      <c r="E29">
        <v>796</v>
      </c>
      <c r="F29" s="8">
        <v>0.0905</v>
      </c>
      <c r="G29" s="9">
        <v>51041.58</v>
      </c>
      <c r="H29" s="9">
        <v>64.12</v>
      </c>
      <c r="I29" s="9">
        <v>3.25</v>
      </c>
      <c r="J29" s="9">
        <v>3.243</v>
      </c>
      <c r="K29" s="9">
        <v>0.4605</v>
      </c>
    </row>
    <row r="30" spans="1:11">
      <c r="A30" t="s">
        <v>88</v>
      </c>
      <c r="B30">
        <v>3</v>
      </c>
      <c r="C30" t="s">
        <v>84</v>
      </c>
      <c r="D30" t="s">
        <v>83</v>
      </c>
      <c r="E30">
        <v>784</v>
      </c>
      <c r="F30" s="8">
        <v>0.051</v>
      </c>
      <c r="G30" s="9">
        <v>23955.75</v>
      </c>
      <c r="H30" s="9">
        <v>30.56</v>
      </c>
      <c r="I30" s="9">
        <v>1.53</v>
      </c>
      <c r="J30" s="9">
        <v>2.381</v>
      </c>
      <c r="K30" s="9">
        <v>0.4899</v>
      </c>
    </row>
    <row r="31" spans="1:11">
      <c r="A31" t="s">
        <v>88</v>
      </c>
      <c r="B31">
        <v>1</v>
      </c>
      <c r="C31" t="s">
        <v>85</v>
      </c>
      <c r="D31" t="s">
        <v>83</v>
      </c>
      <c r="E31">
        <v>784</v>
      </c>
      <c r="F31" s="8">
        <v>0.0242</v>
      </c>
      <c r="G31" s="9">
        <v>41510.25</v>
      </c>
      <c r="H31" s="9">
        <v>52.95</v>
      </c>
      <c r="I31" s="9">
        <v>2.7</v>
      </c>
      <c r="J31" s="9">
        <v>2.142</v>
      </c>
      <c r="K31" s="9">
        <v>0.6191</v>
      </c>
    </row>
    <row r="32" spans="1:11">
      <c r="A32" t="s">
        <v>88</v>
      </c>
      <c r="B32">
        <v>1</v>
      </c>
      <c r="C32" t="s">
        <v>84</v>
      </c>
      <c r="D32" t="s">
        <v>83</v>
      </c>
      <c r="E32">
        <v>593</v>
      </c>
      <c r="F32" s="8">
        <v>0.0118</v>
      </c>
      <c r="G32" s="9">
        <v>29895.75</v>
      </c>
      <c r="H32" s="9">
        <v>50.41</v>
      </c>
      <c r="I32" s="9">
        <v>2.55</v>
      </c>
      <c r="J32" s="9">
        <v>2.357</v>
      </c>
      <c r="K32" s="9">
        <v>0.6425999999999999</v>
      </c>
    </row>
    <row r="33" spans="1:11">
      <c r="A33" t="s">
        <v>88</v>
      </c>
      <c r="B33">
        <v>3</v>
      </c>
      <c r="C33" t="s">
        <v>87</v>
      </c>
      <c r="D33" t="s">
        <v>83</v>
      </c>
      <c r="E33">
        <v>395</v>
      </c>
      <c r="F33" s="8">
        <v>0.1291</v>
      </c>
      <c r="G33" s="9">
        <v>7566.75</v>
      </c>
      <c r="H33" s="9">
        <v>19.16</v>
      </c>
      <c r="I33" s="9">
        <v>0.96</v>
      </c>
      <c r="J33" s="9">
        <v>1.86</v>
      </c>
      <c r="K33" s="9">
        <v>0.3273</v>
      </c>
    </row>
    <row r="34" spans="1:11">
      <c r="A34" t="s">
        <v>88</v>
      </c>
      <c r="B34">
        <v>1</v>
      </c>
      <c r="C34" t="s">
        <v>87</v>
      </c>
      <c r="D34" t="s">
        <v>83</v>
      </c>
      <c r="E34">
        <v>366</v>
      </c>
      <c r="F34" s="8">
        <v>0.0574</v>
      </c>
      <c r="G34" s="9">
        <v>10206</v>
      </c>
      <c r="H34" s="9">
        <v>27.89</v>
      </c>
      <c r="I34" s="9">
        <v>1.39</v>
      </c>
      <c r="J34" s="9">
        <v>1.634</v>
      </c>
      <c r="K34" s="9">
        <v>0.4611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>
    <row r="1" spans="1:1">
      <c r="A1" s="1" t="s">
        <v>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0"/>
  <sheetViews>
    <sheetView showGridLines="0" workbookViewId="0"/>
  </sheetViews>
  <sheetFormatPr defaultRowHeight="15"/>
  <sheetData>
    <row r="1" spans="1:8">
      <c r="A1" s="1" t="s">
        <v>90</v>
      </c>
    </row>
    <row r="4" spans="1:8">
      <c r="A4" s="6" t="s">
        <v>91</v>
      </c>
      <c r="B4" s="6" t="s">
        <v>92</v>
      </c>
      <c r="C4" s="6" t="s">
        <v>74</v>
      </c>
      <c r="D4" s="6" t="s">
        <v>75</v>
      </c>
      <c r="E4" s="6" t="s">
        <v>77</v>
      </c>
      <c r="F4" s="6" t="s">
        <v>93</v>
      </c>
      <c r="G4" s="6" t="s">
        <v>94</v>
      </c>
      <c r="H4" s="6" t="s">
        <v>95</v>
      </c>
    </row>
    <row r="5" spans="1:8">
      <c r="A5" t="s">
        <v>96</v>
      </c>
      <c r="B5" t="s">
        <v>97</v>
      </c>
      <c r="C5">
        <v>79559</v>
      </c>
      <c r="D5" s="8">
        <v>0.0149</v>
      </c>
      <c r="E5" s="9">
        <v>54.57</v>
      </c>
      <c r="F5" s="9">
        <v>13.99</v>
      </c>
      <c r="G5" s="9">
        <v>6.61</v>
      </c>
      <c r="H5" s="9">
        <v>1.27</v>
      </c>
    </row>
    <row r="6" spans="1:8">
      <c r="A6" t="s">
        <v>96</v>
      </c>
      <c r="B6" t="s">
        <v>98</v>
      </c>
      <c r="C6">
        <v>6291</v>
      </c>
      <c r="D6" s="8">
        <v>1</v>
      </c>
      <c r="E6" s="9">
        <v>49.04</v>
      </c>
      <c r="F6" s="9">
        <v>12.82</v>
      </c>
      <c r="G6" s="9">
        <v>6.51</v>
      </c>
      <c r="H6" s="9">
        <v>1.46</v>
      </c>
    </row>
    <row r="7" spans="1:8">
      <c r="A7" t="s">
        <v>99</v>
      </c>
      <c r="B7" t="s">
        <v>97</v>
      </c>
      <c r="C7">
        <v>123779</v>
      </c>
      <c r="D7" s="8">
        <v>0.0139</v>
      </c>
      <c r="E7" s="9">
        <v>59.02</v>
      </c>
      <c r="F7" s="9">
        <v>16.15</v>
      </c>
      <c r="G7" s="9">
        <v>34.59</v>
      </c>
      <c r="H7" s="9">
        <v>3.96</v>
      </c>
    </row>
    <row r="8" spans="1:8">
      <c r="A8" t="s">
        <v>99</v>
      </c>
      <c r="B8" t="s">
        <v>98</v>
      </c>
      <c r="C8">
        <v>8867</v>
      </c>
      <c r="D8" s="8">
        <v>1</v>
      </c>
      <c r="E8" s="9">
        <v>53.11</v>
      </c>
      <c r="F8" s="9">
        <v>17.02</v>
      </c>
      <c r="G8" s="9">
        <v>30.81</v>
      </c>
      <c r="H8" s="9">
        <v>4.56</v>
      </c>
    </row>
    <row r="9" spans="1:8">
      <c r="A9" t="s">
        <v>100</v>
      </c>
      <c r="B9" t="s">
        <v>97</v>
      </c>
      <c r="C9">
        <v>83601</v>
      </c>
      <c r="D9" s="8">
        <v>0.0162</v>
      </c>
      <c r="E9" s="9">
        <v>67.72</v>
      </c>
      <c r="F9" s="9">
        <v>20.81</v>
      </c>
      <c r="G9" s="9">
        <v>144.01</v>
      </c>
      <c r="H9" s="9">
        <v>8.619999999999999</v>
      </c>
    </row>
    <row r="10" spans="1:8">
      <c r="A10" t="s">
        <v>100</v>
      </c>
      <c r="B10" t="s">
        <v>98</v>
      </c>
      <c r="C10">
        <v>5414</v>
      </c>
      <c r="D10" s="8">
        <v>1</v>
      </c>
      <c r="E10" s="9">
        <v>61.59</v>
      </c>
      <c r="F10" s="9">
        <v>19.88</v>
      </c>
      <c r="G10" s="9">
        <v>130.23</v>
      </c>
      <c r="H10" s="9">
        <v>9.75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42"/>
  <sheetViews>
    <sheetView showGridLines="0" workbookViewId="0"/>
  </sheetViews>
  <sheetFormatPr defaultRowHeight="15"/>
  <sheetData>
    <row r="1" spans="1:8">
      <c r="A1" s="1" t="s">
        <v>101</v>
      </c>
    </row>
    <row r="4" spans="1:8">
      <c r="A4" s="6" t="s">
        <v>30</v>
      </c>
      <c r="B4" s="6" t="s">
        <v>102</v>
      </c>
      <c r="C4" s="6" t="s">
        <v>103</v>
      </c>
      <c r="D4" s="6" t="s">
        <v>104</v>
      </c>
      <c r="E4" s="6" t="s">
        <v>105</v>
      </c>
      <c r="F4" s="6" t="s">
        <v>106</v>
      </c>
      <c r="G4" s="6" t="s">
        <v>107</v>
      </c>
      <c r="H4" s="6" t="s">
        <v>108</v>
      </c>
    </row>
    <row r="5" spans="1:8">
      <c r="A5" t="s">
        <v>56</v>
      </c>
      <c r="B5" t="s">
        <v>109</v>
      </c>
      <c r="C5" t="s">
        <v>34</v>
      </c>
      <c r="D5" s="9">
        <v>0.229</v>
      </c>
      <c r="E5" s="9">
        <v>0.2941</v>
      </c>
      <c r="F5" s="8">
        <v>-0.2213532811968717</v>
      </c>
      <c r="G5" s="9">
        <v>-7.11</v>
      </c>
      <c r="H5" t="s">
        <v>110</v>
      </c>
    </row>
    <row r="6" spans="1:8">
      <c r="A6" t="s">
        <v>54</v>
      </c>
      <c r="B6" t="s">
        <v>111</v>
      </c>
      <c r="C6" t="s">
        <v>31</v>
      </c>
      <c r="D6" s="9">
        <v>24967</v>
      </c>
      <c r="E6" s="9">
        <v>34640</v>
      </c>
      <c r="F6" s="8">
        <v>-0.2792436489607391</v>
      </c>
      <c r="G6" s="9">
        <v>-2.51</v>
      </c>
      <c r="H6" t="s">
        <v>112</v>
      </c>
    </row>
    <row r="7" spans="1:8">
      <c r="A7" t="s">
        <v>54</v>
      </c>
      <c r="B7" t="s">
        <v>113</v>
      </c>
      <c r="C7" t="s">
        <v>114</v>
      </c>
      <c r="D7" s="9">
        <v>18.74</v>
      </c>
      <c r="E7" s="9">
        <v>21.49</v>
      </c>
      <c r="F7" s="8">
        <v>-0.1279664960446719</v>
      </c>
      <c r="G7" s="9">
        <v>-2.79</v>
      </c>
      <c r="H7" t="s">
        <v>112</v>
      </c>
    </row>
    <row r="8" spans="1:8">
      <c r="A8" t="s">
        <v>54</v>
      </c>
      <c r="B8" t="s">
        <v>109</v>
      </c>
      <c r="C8" t="s">
        <v>34</v>
      </c>
      <c r="D8" s="9">
        <v>0.3664</v>
      </c>
      <c r="E8" s="9">
        <v>0.3279</v>
      </c>
      <c r="F8" s="8">
        <v>0.1174138456846599</v>
      </c>
      <c r="G8" s="9">
        <v>3.9</v>
      </c>
      <c r="H8" t="s">
        <v>110</v>
      </c>
    </row>
    <row r="9" spans="1:8">
      <c r="A9" t="s">
        <v>53</v>
      </c>
      <c r="B9" t="s">
        <v>113</v>
      </c>
      <c r="C9" t="s">
        <v>114</v>
      </c>
      <c r="D9" s="9">
        <v>21.49</v>
      </c>
      <c r="E9" s="9">
        <v>21.8</v>
      </c>
      <c r="F9" s="8">
        <v>-0.01422018348623864</v>
      </c>
      <c r="G9" s="9">
        <v>-3.03</v>
      </c>
      <c r="H9" t="s">
        <v>112</v>
      </c>
    </row>
    <row r="10" spans="1:8">
      <c r="A10" t="s">
        <v>53</v>
      </c>
      <c r="B10" t="s">
        <v>111</v>
      </c>
      <c r="C10" t="s">
        <v>31</v>
      </c>
      <c r="D10" s="9">
        <v>34640</v>
      </c>
      <c r="E10" s="9">
        <v>44347</v>
      </c>
      <c r="F10" s="8">
        <v>-0.2188874106478454</v>
      </c>
      <c r="G10" s="9">
        <v>-3.72</v>
      </c>
      <c r="H10" t="s">
        <v>110</v>
      </c>
    </row>
    <row r="11" spans="1:8">
      <c r="A11" t="s">
        <v>53</v>
      </c>
      <c r="B11" t="s">
        <v>115</v>
      </c>
      <c r="C11" t="s">
        <v>35</v>
      </c>
      <c r="D11" s="9">
        <v>0.9453</v>
      </c>
      <c r="E11" s="9">
        <v>0.955</v>
      </c>
      <c r="F11" s="8">
        <v>-0.01015706806282715</v>
      </c>
      <c r="G11" s="9">
        <v>-3.88</v>
      </c>
      <c r="H11" t="s">
        <v>110</v>
      </c>
    </row>
    <row r="12" spans="1:8">
      <c r="A12" t="s">
        <v>52</v>
      </c>
      <c r="B12" t="s">
        <v>111</v>
      </c>
      <c r="C12" t="s">
        <v>31</v>
      </c>
      <c r="D12" s="9">
        <v>44347</v>
      </c>
      <c r="E12" s="9">
        <v>52772</v>
      </c>
      <c r="F12" s="8">
        <v>-0.1596490563177443</v>
      </c>
      <c r="G12" s="9">
        <v>-2.63</v>
      </c>
      <c r="H12" t="s">
        <v>112</v>
      </c>
    </row>
    <row r="13" spans="1:8">
      <c r="A13" t="s">
        <v>52</v>
      </c>
      <c r="B13" t="s">
        <v>116</v>
      </c>
      <c r="C13" t="s">
        <v>36</v>
      </c>
      <c r="D13" s="9">
        <v>288200.83</v>
      </c>
      <c r="E13" s="9">
        <v>358618.89</v>
      </c>
      <c r="F13" s="8">
        <v>-0.196359037305592</v>
      </c>
      <c r="G13" s="9">
        <v>-3.08</v>
      </c>
      <c r="H13" t="s">
        <v>112</v>
      </c>
    </row>
    <row r="14" spans="1:8">
      <c r="A14" t="s">
        <v>52</v>
      </c>
      <c r="B14" t="s">
        <v>115</v>
      </c>
      <c r="C14" t="s">
        <v>35</v>
      </c>
      <c r="D14" s="9">
        <v>0.955</v>
      </c>
      <c r="E14" s="9">
        <v>0.9631999999999999</v>
      </c>
      <c r="F14" s="8">
        <v>-0.008513289036544835</v>
      </c>
      <c r="G14" s="9">
        <v>-4.61</v>
      </c>
      <c r="H14" t="s">
        <v>110</v>
      </c>
    </row>
    <row r="15" spans="1:8">
      <c r="A15" t="s">
        <v>52</v>
      </c>
      <c r="B15" t="s">
        <v>113</v>
      </c>
      <c r="C15" t="s">
        <v>114</v>
      </c>
      <c r="D15" s="9">
        <v>21.8</v>
      </c>
      <c r="E15" s="9">
        <v>22.58</v>
      </c>
      <c r="F15" s="8">
        <v>-0.03454384410983161</v>
      </c>
      <c r="G15" s="9">
        <v>-5.26</v>
      </c>
      <c r="H15" t="s">
        <v>110</v>
      </c>
    </row>
    <row r="16" spans="1:8">
      <c r="A16" t="s">
        <v>51</v>
      </c>
      <c r="B16" t="s">
        <v>113</v>
      </c>
      <c r="C16" t="s">
        <v>114</v>
      </c>
      <c r="D16" s="9">
        <v>22.58</v>
      </c>
      <c r="E16" s="9">
        <v>24.82</v>
      </c>
      <c r="F16" s="8">
        <v>-0.09024979854955689</v>
      </c>
      <c r="G16" s="9">
        <v>-3.7</v>
      </c>
      <c r="H16" t="s">
        <v>110</v>
      </c>
    </row>
    <row r="17" spans="1:8">
      <c r="A17" t="s">
        <v>51</v>
      </c>
      <c r="B17" t="s">
        <v>116</v>
      </c>
      <c r="C17" t="s">
        <v>36</v>
      </c>
      <c r="D17" s="9">
        <v>358618.89</v>
      </c>
      <c r="E17" s="9">
        <v>463670.04</v>
      </c>
      <c r="F17" s="8">
        <v>-0.2265644551888666</v>
      </c>
      <c r="G17" s="9">
        <v>-4.69</v>
      </c>
      <c r="H17" t="s">
        <v>110</v>
      </c>
    </row>
    <row r="18" spans="1:8">
      <c r="A18" t="s">
        <v>51</v>
      </c>
      <c r="B18" t="s">
        <v>115</v>
      </c>
      <c r="C18" t="s">
        <v>35</v>
      </c>
      <c r="D18" s="9">
        <v>0.9631999999999999</v>
      </c>
      <c r="E18" s="9">
        <v>0.9684</v>
      </c>
      <c r="F18" s="8">
        <v>-0.005369681949607697</v>
      </c>
      <c r="G18" s="9">
        <v>-6.18</v>
      </c>
      <c r="H18" t="s">
        <v>110</v>
      </c>
    </row>
    <row r="19" spans="1:8">
      <c r="A19" t="s">
        <v>50</v>
      </c>
      <c r="B19" t="s">
        <v>116</v>
      </c>
      <c r="C19" t="s">
        <v>36</v>
      </c>
      <c r="D19" s="9">
        <v>463670.04</v>
      </c>
      <c r="E19" s="9">
        <v>445853.38</v>
      </c>
      <c r="F19" s="8">
        <v>0.03996080505210026</v>
      </c>
      <c r="G19" s="9">
        <v>-3.64</v>
      </c>
      <c r="H19" t="s">
        <v>110</v>
      </c>
    </row>
    <row r="20" spans="1:8">
      <c r="A20" t="s">
        <v>50</v>
      </c>
      <c r="B20" t="s">
        <v>115</v>
      </c>
      <c r="C20" t="s">
        <v>35</v>
      </c>
      <c r="D20" s="9">
        <v>0.9684</v>
      </c>
      <c r="E20" s="9">
        <v>0.9722</v>
      </c>
      <c r="F20" s="8">
        <v>-0.003908660769388927</v>
      </c>
      <c r="G20" s="9">
        <v>-5.94</v>
      </c>
      <c r="H20" t="s">
        <v>110</v>
      </c>
    </row>
    <row r="21" spans="1:8">
      <c r="A21" t="s">
        <v>49</v>
      </c>
      <c r="B21" t="s">
        <v>115</v>
      </c>
      <c r="C21" t="s">
        <v>35</v>
      </c>
      <c r="D21" s="9">
        <v>0.9722</v>
      </c>
      <c r="E21" s="9">
        <v>0.974</v>
      </c>
      <c r="F21" s="8">
        <v>-0.001848049281314193</v>
      </c>
      <c r="G21" s="9">
        <v>-4.99</v>
      </c>
      <c r="H21" t="s">
        <v>110</v>
      </c>
    </row>
    <row r="22" spans="1:8">
      <c r="A22" t="s">
        <v>49</v>
      </c>
      <c r="B22" t="s">
        <v>116</v>
      </c>
      <c r="C22" t="s">
        <v>36</v>
      </c>
      <c r="D22" s="9">
        <v>445853.38</v>
      </c>
      <c r="E22" s="9">
        <v>537746.04</v>
      </c>
      <c r="F22" s="8">
        <v>-0.1708848660233742</v>
      </c>
      <c r="G22" s="9">
        <v>-7.66</v>
      </c>
      <c r="H22" t="s">
        <v>110</v>
      </c>
    </row>
    <row r="23" spans="1:8">
      <c r="A23" t="s">
        <v>48</v>
      </c>
      <c r="B23" t="s">
        <v>115</v>
      </c>
      <c r="C23" t="s">
        <v>35</v>
      </c>
      <c r="D23" s="9">
        <v>0.974</v>
      </c>
      <c r="E23" s="9">
        <v>0.9752999999999999</v>
      </c>
      <c r="F23" s="8">
        <v>-0.001332923203116957</v>
      </c>
      <c r="G23" s="9">
        <v>-2.56</v>
      </c>
      <c r="H23" t="s">
        <v>112</v>
      </c>
    </row>
    <row r="24" spans="1:8">
      <c r="A24" t="s">
        <v>46</v>
      </c>
      <c r="B24" t="s">
        <v>116</v>
      </c>
      <c r="C24" t="s">
        <v>36</v>
      </c>
      <c r="D24" s="9">
        <v>523151.27</v>
      </c>
      <c r="E24" s="9">
        <v>571457.21</v>
      </c>
      <c r="F24" s="8">
        <v>-0.08453115850966329</v>
      </c>
      <c r="G24" s="9">
        <v>-2.82</v>
      </c>
      <c r="H24" t="s">
        <v>112</v>
      </c>
    </row>
    <row r="25" spans="1:8">
      <c r="A25" t="s">
        <v>45</v>
      </c>
      <c r="B25" t="s">
        <v>111</v>
      </c>
      <c r="C25" t="s">
        <v>31</v>
      </c>
      <c r="D25" s="9">
        <v>54766</v>
      </c>
      <c r="E25" s="9">
        <v>47294</v>
      </c>
      <c r="F25" s="8">
        <v>0.1579904427622954</v>
      </c>
      <c r="G25" s="9">
        <v>2.89</v>
      </c>
      <c r="H25" t="s">
        <v>112</v>
      </c>
    </row>
    <row r="26" spans="1:8">
      <c r="A26" t="s">
        <v>43</v>
      </c>
      <c r="B26" t="s">
        <v>113</v>
      </c>
      <c r="C26" t="s">
        <v>114</v>
      </c>
      <c r="D26" s="9">
        <v>25.1</v>
      </c>
      <c r="E26" s="9">
        <v>26.18</v>
      </c>
      <c r="F26" s="8">
        <v>-0.04125286478227648</v>
      </c>
      <c r="G26" s="9">
        <v>-3.16</v>
      </c>
      <c r="H26" t="s">
        <v>112</v>
      </c>
    </row>
    <row r="27" spans="1:8">
      <c r="A27" t="s">
        <v>42</v>
      </c>
      <c r="B27" t="s">
        <v>113</v>
      </c>
      <c r="C27" t="s">
        <v>114</v>
      </c>
      <c r="D27" s="9">
        <v>26.18</v>
      </c>
      <c r="E27" s="9">
        <v>27.11</v>
      </c>
      <c r="F27" s="8">
        <v>-0.03430468461822205</v>
      </c>
      <c r="G27" s="9">
        <v>-4.22</v>
      </c>
      <c r="H27" t="s">
        <v>110</v>
      </c>
    </row>
    <row r="28" spans="1:8">
      <c r="A28" t="s">
        <v>41</v>
      </c>
      <c r="B28" t="s">
        <v>116</v>
      </c>
      <c r="C28" t="s">
        <v>36</v>
      </c>
      <c r="D28" s="9">
        <v>571594.66</v>
      </c>
      <c r="E28" s="9">
        <v>616191.12</v>
      </c>
      <c r="F28" s="8">
        <v>-0.07237439578811192</v>
      </c>
      <c r="G28" s="9">
        <v>-6.08</v>
      </c>
      <c r="H28" t="s">
        <v>110</v>
      </c>
    </row>
    <row r="29" spans="1:8">
      <c r="A29" t="s">
        <v>40</v>
      </c>
      <c r="B29" t="s">
        <v>116</v>
      </c>
      <c r="C29" t="s">
        <v>36</v>
      </c>
      <c r="D29" s="9">
        <v>616191.12</v>
      </c>
      <c r="E29" s="9">
        <v>599896.14</v>
      </c>
      <c r="F29" s="8">
        <v>0.02716300191563156</v>
      </c>
      <c r="G29" s="9">
        <v>3.62</v>
      </c>
      <c r="H29" t="s">
        <v>110</v>
      </c>
    </row>
    <row r="30" spans="1:8">
      <c r="A30" t="s">
        <v>40</v>
      </c>
      <c r="B30" t="s">
        <v>111</v>
      </c>
      <c r="C30" t="s">
        <v>31</v>
      </c>
      <c r="D30" s="9">
        <v>34973</v>
      </c>
      <c r="E30" s="9">
        <v>31226</v>
      </c>
      <c r="F30" s="8">
        <v>0.1199961570486133</v>
      </c>
      <c r="G30" s="9">
        <v>3.99</v>
      </c>
      <c r="H30" t="s">
        <v>110</v>
      </c>
    </row>
    <row r="31" spans="1:8">
      <c r="A31" t="s">
        <v>39</v>
      </c>
      <c r="B31" t="s">
        <v>109</v>
      </c>
      <c r="C31" t="s">
        <v>34</v>
      </c>
      <c r="D31" s="9">
        <v>0.6953</v>
      </c>
      <c r="E31" s="9">
        <v>0.7285</v>
      </c>
      <c r="F31" s="8">
        <v>-0.04557309540150996</v>
      </c>
      <c r="G31" s="9">
        <v>-2.51</v>
      </c>
      <c r="H31" t="s">
        <v>112</v>
      </c>
    </row>
    <row r="32" spans="1:8">
      <c r="A32" t="s">
        <v>39</v>
      </c>
      <c r="B32" t="s">
        <v>111</v>
      </c>
      <c r="C32" t="s">
        <v>31</v>
      </c>
      <c r="D32" s="9">
        <v>31226</v>
      </c>
      <c r="E32" s="9">
        <v>29027</v>
      </c>
      <c r="F32" s="8">
        <v>0.07575705377751749</v>
      </c>
      <c r="G32" s="9">
        <v>3.92</v>
      </c>
      <c r="H32" t="s">
        <v>110</v>
      </c>
    </row>
    <row r="33" spans="1:8">
      <c r="A33" t="s">
        <v>117</v>
      </c>
      <c r="B33" t="s">
        <v>111</v>
      </c>
      <c r="C33" t="s">
        <v>31</v>
      </c>
      <c r="D33" s="9">
        <v>29027</v>
      </c>
      <c r="E33" s="9">
        <v>24228</v>
      </c>
      <c r="F33" s="8">
        <v>0.1980766055803203</v>
      </c>
      <c r="G33" s="9">
        <v>3.78</v>
      </c>
      <c r="H33" t="s">
        <v>110</v>
      </c>
    </row>
    <row r="34" spans="1:8">
      <c r="A34" t="s">
        <v>118</v>
      </c>
      <c r="B34" t="s">
        <v>109</v>
      </c>
      <c r="C34" t="s">
        <v>34</v>
      </c>
      <c r="D34" s="9">
        <v>0.7722</v>
      </c>
      <c r="E34" s="9">
        <v>0.7944</v>
      </c>
      <c r="F34" s="8">
        <v>-0.02794561933534743</v>
      </c>
      <c r="G34" s="9">
        <v>-3.14</v>
      </c>
      <c r="H34" t="s">
        <v>112</v>
      </c>
    </row>
    <row r="35" spans="1:8">
      <c r="A35" t="s">
        <v>118</v>
      </c>
      <c r="B35" t="s">
        <v>116</v>
      </c>
      <c r="C35" t="s">
        <v>36</v>
      </c>
      <c r="D35" s="9">
        <v>528350.99</v>
      </c>
      <c r="E35" s="9">
        <v>603188.8</v>
      </c>
      <c r="F35" s="8">
        <v>-0.1240702910929381</v>
      </c>
      <c r="G35" s="9">
        <v>-5.88</v>
      </c>
      <c r="H35" t="s">
        <v>110</v>
      </c>
    </row>
    <row r="36" spans="1:8">
      <c r="A36" t="s">
        <v>119</v>
      </c>
      <c r="B36" t="s">
        <v>109</v>
      </c>
      <c r="C36" t="s">
        <v>34</v>
      </c>
      <c r="D36" s="9">
        <v>0.7944</v>
      </c>
      <c r="E36" s="9">
        <v>0.8169</v>
      </c>
      <c r="F36" s="8">
        <v>-0.02754315093646709</v>
      </c>
      <c r="G36" s="9">
        <v>-5.78</v>
      </c>
      <c r="H36" t="s">
        <v>110</v>
      </c>
    </row>
    <row r="37" spans="1:8">
      <c r="A37" t="s">
        <v>120</v>
      </c>
      <c r="B37" t="s">
        <v>109</v>
      </c>
      <c r="C37" t="s">
        <v>34</v>
      </c>
      <c r="D37" s="9">
        <v>0.8169</v>
      </c>
      <c r="E37" s="9">
        <v>0.8314</v>
      </c>
      <c r="F37" s="8">
        <v>-0.01744046187154206</v>
      </c>
      <c r="G37" s="9">
        <v>-5.64</v>
      </c>
      <c r="H37" t="s">
        <v>110</v>
      </c>
    </row>
    <row r="38" spans="1:8">
      <c r="A38" t="s">
        <v>121</v>
      </c>
      <c r="B38" t="s">
        <v>115</v>
      </c>
      <c r="C38" t="s">
        <v>35</v>
      </c>
      <c r="D38" s="9">
        <v>0.9754</v>
      </c>
      <c r="E38" s="9">
        <v>0.9778</v>
      </c>
      <c r="F38" s="8">
        <v>-0.002454489670689259</v>
      </c>
      <c r="G38" s="9">
        <v>-2.54</v>
      </c>
      <c r="H38" t="s">
        <v>112</v>
      </c>
    </row>
    <row r="39" spans="1:8">
      <c r="A39" t="s">
        <v>121</v>
      </c>
      <c r="B39" t="s">
        <v>109</v>
      </c>
      <c r="C39" t="s">
        <v>34</v>
      </c>
      <c r="D39" s="9">
        <v>0.8314</v>
      </c>
      <c r="E39" s="9">
        <v>0.8486</v>
      </c>
      <c r="F39" s="8">
        <v>-0.02026867782229554</v>
      </c>
      <c r="G39" s="9">
        <v>-2.65</v>
      </c>
      <c r="H39" t="s">
        <v>112</v>
      </c>
    </row>
    <row r="40" spans="1:8">
      <c r="A40" t="s">
        <v>122</v>
      </c>
      <c r="B40" t="s">
        <v>113</v>
      </c>
      <c r="C40" t="s">
        <v>114</v>
      </c>
      <c r="D40" s="9">
        <v>32.12</v>
      </c>
      <c r="E40" s="9">
        <v>30.23</v>
      </c>
      <c r="F40" s="8">
        <v>0.06252067482633136</v>
      </c>
      <c r="G40" s="9">
        <v>4.61</v>
      </c>
      <c r="H40" t="s">
        <v>110</v>
      </c>
    </row>
    <row r="41" spans="1:8">
      <c r="A41" t="s">
        <v>123</v>
      </c>
      <c r="B41" t="s">
        <v>111</v>
      </c>
      <c r="C41" t="s">
        <v>31</v>
      </c>
      <c r="D41" s="9">
        <v>22372</v>
      </c>
      <c r="E41" s="9">
        <v>20934</v>
      </c>
      <c r="F41" s="8">
        <v>0.06869207987006783</v>
      </c>
      <c r="G41" s="9">
        <v>2.53</v>
      </c>
      <c r="H41" t="s">
        <v>112</v>
      </c>
    </row>
    <row r="42" spans="1:8">
      <c r="A42" t="s">
        <v>124</v>
      </c>
      <c r="B42" t="s">
        <v>115</v>
      </c>
      <c r="C42" t="s">
        <v>35</v>
      </c>
      <c r="D42" s="9">
        <v>0.9752</v>
      </c>
      <c r="E42" s="9">
        <v>0.9779</v>
      </c>
      <c r="F42" s="8">
        <v>-0.002761018509050042</v>
      </c>
      <c r="G42" s="9">
        <v>-3.19</v>
      </c>
      <c r="H42" t="s">
        <v>112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12"/>
  <sheetViews>
    <sheetView showGridLines="0" workbookViewId="0"/>
  </sheetViews>
  <sheetFormatPr defaultRowHeight="15"/>
  <cols>
    <col min="1" max="1" width="16.7109375" customWidth="1"/>
    <col min="2" max="2" width="42.7109375" customWidth="1"/>
    <col min="3" max="3" width="34.7109375" customWidth="1"/>
    <col min="4" max="4" width="46.7109375" customWidth="1"/>
  </cols>
  <sheetData>
    <row r="1" spans="1:4">
      <c r="A1" s="1" t="s">
        <v>125</v>
      </c>
    </row>
    <row r="4" spans="1:4">
      <c r="A4" s="6" t="s">
        <v>103</v>
      </c>
      <c r="B4" s="6" t="s">
        <v>126</v>
      </c>
      <c r="C4" s="6" t="s">
        <v>127</v>
      </c>
      <c r="D4" s="6" t="s">
        <v>128</v>
      </c>
    </row>
    <row r="5" spans="1:4">
      <c r="A5" t="s">
        <v>31</v>
      </c>
      <c r="B5" t="s">
        <v>129</v>
      </c>
      <c r="C5" t="s">
        <v>130</v>
      </c>
      <c r="D5" t="s">
        <v>131</v>
      </c>
    </row>
    <row r="6" spans="1:4">
      <c r="A6" t="s">
        <v>34</v>
      </c>
      <c r="B6" t="s">
        <v>132</v>
      </c>
      <c r="C6" t="s">
        <v>133</v>
      </c>
      <c r="D6" t="s">
        <v>134</v>
      </c>
    </row>
    <row r="7" spans="1:4">
      <c r="A7" t="s">
        <v>35</v>
      </c>
      <c r="B7" t="s">
        <v>135</v>
      </c>
      <c r="C7" t="s">
        <v>136</v>
      </c>
      <c r="D7" t="s">
        <v>137</v>
      </c>
    </row>
    <row r="8" spans="1:4">
      <c r="A8" t="s">
        <v>36</v>
      </c>
      <c r="B8" t="s">
        <v>138</v>
      </c>
      <c r="C8" t="s">
        <v>139</v>
      </c>
      <c r="D8" t="s">
        <v>140</v>
      </c>
    </row>
    <row r="9" spans="1:4">
      <c r="A9" t="s">
        <v>37</v>
      </c>
      <c r="B9" t="s">
        <v>141</v>
      </c>
      <c r="C9" t="s">
        <v>142</v>
      </c>
      <c r="D9" t="s">
        <v>143</v>
      </c>
    </row>
    <row r="10" spans="1:4">
      <c r="A10" t="s">
        <v>75</v>
      </c>
      <c r="B10" t="s">
        <v>144</v>
      </c>
      <c r="C10" t="s">
        <v>145</v>
      </c>
      <c r="D10" t="s">
        <v>146</v>
      </c>
    </row>
    <row r="11" spans="1:4">
      <c r="A11" t="s">
        <v>147</v>
      </c>
      <c r="B11" t="s">
        <v>148</v>
      </c>
      <c r="C11" t="s">
        <v>149</v>
      </c>
      <c r="D11" t="s">
        <v>150</v>
      </c>
    </row>
    <row r="12" spans="1:4">
      <c r="A12" t="s">
        <v>151</v>
      </c>
      <c r="B12" t="s">
        <v>152</v>
      </c>
      <c r="C12" t="s">
        <v>153</v>
      </c>
      <c r="D12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封面与说明</vt:lpstr>
      <vt:lpstr>经营总览</vt:lpstr>
      <vt:lpstr>审批漏斗</vt:lpstr>
      <vt:lpstr>组合结构</vt:lpstr>
      <vt:lpstr>风险迁徙</vt:lpstr>
      <vt:lpstr>客户分层</vt:lpstr>
      <vt:lpstr>异常清单</vt:lpstr>
      <vt:lpstr>指标口径</vt:lpstr>
    </vt:vector>
  </TitlesOfParts>
  <Company>个人项目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消费金融经营分析工作簿</dc:title>
  <dc:subject>Home Credit public data operating analytics</dc:subject>
  <dc:creator>魏嗣杰</dc:creator>
  <dc:description>Data source: Home Credit public dataset. Calendar is synthetic.</dc:description>
  <cp:lastModifiedBy>魏嗣杰</cp:lastModifiedBy>
  <dcterms:created xsi:type="dcterms:W3CDTF">2026-10-19T08:10:27Z</dcterms:created>
  <dcterms:modified xsi:type="dcterms:W3CDTF">2026-10-19T08:10:27Z</dcterms:modified>
</cp:coreProperties>
</file>